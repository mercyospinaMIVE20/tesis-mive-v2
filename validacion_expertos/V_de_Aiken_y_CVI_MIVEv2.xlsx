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puedes dar una hoja de calcu" sheetId="1" r:id="rId5"/>
  </sheets>
  <definedNames/>
  <calcPr/>
</workbook>
</file>

<file path=xl/sharedStrings.xml><?xml version="1.0" encoding="utf-8"?>
<sst xmlns="http://schemas.openxmlformats.org/spreadsheetml/2006/main" count="76" uniqueCount="62">
  <si>
    <t>Clúster</t>
  </si>
  <si>
    <t>Ítem / Criterio</t>
  </si>
  <si>
    <t>Yamerqui (Y)</t>
  </si>
  <si>
    <t>Franky (F)</t>
  </si>
  <si>
    <t>Edwin (E)</t>
  </si>
  <si>
    <t>Suma (Y+F+E)</t>
  </si>
  <si>
    <t>S=Suma−3</t>
  </si>
  <si>
    <t>V de Aiken</t>
  </si>
  <si>
    <t>I−CVI (Puntaje≥4)</t>
  </si>
  <si>
    <t>Num. Expertos</t>
  </si>
  <si>
    <t>1. Equipo y Estrategia</t>
  </si>
  <si>
    <t>Equilibrio de Roles</t>
  </si>
  <si>
    <t>C</t>
  </si>
  <si>
    <t>Cohesión</t>
  </si>
  <si>
    <t>V</t>
  </si>
  <si>
    <t>V =S/n(c-1)</t>
  </si>
  <si>
    <t>Gobernanza de Mentores</t>
  </si>
  <si>
    <t>CVI</t>
  </si>
  <si>
    <t>CVI prom(Vi)</t>
  </si>
  <si>
    <t>2. Gobierno y Madurez</t>
  </si>
  <si>
    <t>Medición de madurez (isomorfismo IPL)</t>
  </si>
  <si>
    <t>IPL (Impacto)</t>
  </si>
  <si>
    <t>Sincronía (R2)</t>
  </si>
  <si>
    <t>Validación Manual (R1)</t>
  </si>
  <si>
    <t>Validación de Interesados</t>
  </si>
  <si>
    <t>Feedback</t>
  </si>
  <si>
    <t>Certificación</t>
  </si>
  <si>
    <t>3. Certificación y Financiamiento</t>
  </si>
  <si>
    <t>Certificación por Fases</t>
  </si>
  <si>
    <t>Auditoría de Inversión</t>
  </si>
  <si>
    <t>4. Propósito y ODS</t>
  </si>
  <si>
    <t>Alineación ODS</t>
  </si>
  <si>
    <t>Teoría del Cambio</t>
  </si>
  <si>
    <t>5. Desarrollo y Soberanía</t>
  </si>
  <si>
    <t>Bifurcación EDA</t>
  </si>
  <si>
    <t>Eficiencia (EDA)</t>
  </si>
  <si>
    <t>Soberanía Tecnológica (R5)</t>
  </si>
  <si>
    <t>Eficiencia Vibe-Coding</t>
  </si>
  <si>
    <t>6. Ética y Auditoría</t>
  </si>
  <si>
    <t>Explicabilidad (R6)</t>
  </si>
  <si>
    <t>7. Contexto y Adaptabilidad</t>
  </si>
  <si>
    <t>Mapeo Legal</t>
  </si>
  <si>
    <t>Escalabilidad</t>
  </si>
  <si>
    <t>Resumen de Métricas Globales del Instrumento</t>
  </si>
  <si>
    <t>Indicador Global de Validez</t>
  </si>
  <si>
    <t>Valor Calculado</t>
  </si>
  <si>
    <t>Criterio de Aceptación / Interpretación</t>
  </si>
  <si>
    <t>Número de Ítems (N)</t>
  </si>
  <si>
    <t>Total de reactivos evaluados.</t>
  </si>
  <si>
    <t>Número de Jueces (n)</t>
  </si>
  <si>
    <t>Yamerqui, Franky y Edwin.</t>
  </si>
  <si>
    <t>Escala de Respuesta (k)</t>
  </si>
  <si>
    <t>1 a 5</t>
  </si>
  <si>
    <t>lo = 1 (mínimo), c = 5 (máximo). Rango (c - lo) = 4.</t>
  </si>
  <si>
    <t>Suma Máxima Posible ($S_{\max}$)</t>
  </si>
  <si>
    <t>n * (c - lo) = 3 * 4 = 12</t>
  </si>
  <si>
    <t>CVI = prom(Vi)</t>
  </si>
  <si>
    <t>Excelente validez de contenido (V &gt; 0.80).</t>
  </si>
  <si>
    <t>S-CVI/prom(V) = (Prom(I-CVI)</t>
  </si>
  <si>
    <t>Muy superior al umbral estándar de 0.90.</t>
  </si>
  <si>
    <t>$S-CVI / \text{UA}$ (Acuerdo Unánime de Jueces)</t>
  </si>
  <si>
    <t>18 de los 21 ítems obtuvieron acuerdo pleno (100\%).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</si>
</sst>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sz val="22.0"/>
      <color rgb="FF000000"/>
      <name val="Arial"/>
    </font>
    <font>
      <b/>
      <sz val="12.0"/>
      <color theme="1"/>
      <name val="&quot;Google Sans&quot;"/>
    </font>
    <font>
      <sz val="12.0"/>
      <color theme="1"/>
      <name val="Arial"/>
      <scheme val="minor"/>
    </font>
    <font>
      <sz val="12.0"/>
      <color theme="1"/>
      <name val="&quot;Google Sans Text&quot;"/>
    </font>
    <font>
      <b/>
      <sz val="11.0"/>
      <color theme="1"/>
      <name val="&quot;Google Sans Text&quot;"/>
    </font>
    <font>
      <sz val="11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4" fillId="0" fontId="2" numFmtId="0" xfId="0" applyBorder="1" applyFont="1"/>
    <xf borderId="5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1" fillId="0" fontId="9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9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2.25"/>
    <col customWidth="1" min="3" max="3" width="19.25"/>
  </cols>
  <sheetData>
    <row r="1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4" t="s">
        <v>9</v>
      </c>
      <c r="M1" s="4">
        <v>3.0</v>
      </c>
    </row>
    <row r="2">
      <c r="A2" s="1" t="s">
        <v>10</v>
      </c>
      <c r="B2" s="2" t="s">
        <v>11</v>
      </c>
      <c r="C2" s="3"/>
      <c r="D2" s="1">
        <v>5.0</v>
      </c>
      <c r="E2" s="1">
        <v>5.0</v>
      </c>
      <c r="F2" s="1">
        <v>4.0</v>
      </c>
      <c r="G2" s="1">
        <f>SUM(D2:F2)</f>
        <v>14</v>
      </c>
      <c r="H2" s="1">
        <f>G2-3</f>
        <v>11</v>
      </c>
      <c r="I2" s="5">
        <f t="shared" ref="I2:I22" si="1">H2/(($M$2-1)*$M$1)</f>
        <v>0.9166666667</v>
      </c>
      <c r="J2" s="5">
        <f t="shared" ref="J2:J22" si="2">COUNTIF(D2:F2, "&gt;=4") / 3</f>
        <v>1</v>
      </c>
      <c r="L2" s="4" t="s">
        <v>12</v>
      </c>
      <c r="M2" s="4">
        <v>5.0</v>
      </c>
    </row>
    <row r="3">
      <c r="A3" s="1" t="s">
        <v>10</v>
      </c>
      <c r="B3" s="2" t="s">
        <v>13</v>
      </c>
      <c r="C3" s="3"/>
      <c r="D3" s="1">
        <v>5.0</v>
      </c>
      <c r="E3" s="1">
        <v>5.0</v>
      </c>
      <c r="F3" s="1">
        <v>4.0</v>
      </c>
      <c r="G3" s="1">
        <v>14.0</v>
      </c>
      <c r="H3" s="1">
        <v>11.0</v>
      </c>
      <c r="I3" s="5">
        <f t="shared" si="1"/>
        <v>0.9166666667</v>
      </c>
      <c r="J3" s="5">
        <f t="shared" si="2"/>
        <v>1</v>
      </c>
      <c r="L3" s="4" t="s">
        <v>14</v>
      </c>
      <c r="M3" s="6" t="s">
        <v>15</v>
      </c>
    </row>
    <row r="4">
      <c r="A4" s="1" t="s">
        <v>10</v>
      </c>
      <c r="B4" s="2" t="s">
        <v>16</v>
      </c>
      <c r="C4" s="3"/>
      <c r="D4" s="1">
        <v>5.0</v>
      </c>
      <c r="E4" s="1">
        <v>5.0</v>
      </c>
      <c r="F4" s="1">
        <v>3.0</v>
      </c>
      <c r="G4" s="1">
        <v>13.0</v>
      </c>
      <c r="H4" s="1">
        <v>10.0</v>
      </c>
      <c r="I4" s="5">
        <f t="shared" si="1"/>
        <v>0.8333333333</v>
      </c>
      <c r="J4" s="5">
        <f t="shared" si="2"/>
        <v>0.6666666667</v>
      </c>
      <c r="L4" s="4" t="s">
        <v>17</v>
      </c>
      <c r="M4" s="6" t="s">
        <v>18</v>
      </c>
    </row>
    <row r="5">
      <c r="A5" s="1" t="s">
        <v>19</v>
      </c>
      <c r="B5" s="2" t="s">
        <v>20</v>
      </c>
      <c r="C5" s="3"/>
      <c r="D5" s="1">
        <v>5.0</v>
      </c>
      <c r="E5" s="1">
        <v>5.0</v>
      </c>
      <c r="F5" s="1">
        <v>4.0</v>
      </c>
      <c r="G5" s="1">
        <v>14.0</v>
      </c>
      <c r="H5" s="1">
        <v>11.0</v>
      </c>
      <c r="I5" s="5">
        <f t="shared" si="1"/>
        <v>0.9166666667</v>
      </c>
      <c r="J5" s="5">
        <f t="shared" si="2"/>
        <v>1</v>
      </c>
      <c r="M5" s="7"/>
    </row>
    <row r="6">
      <c r="A6" s="1" t="s">
        <v>19</v>
      </c>
      <c r="B6" s="2" t="s">
        <v>21</v>
      </c>
      <c r="C6" s="3"/>
      <c r="D6" s="1">
        <v>5.0</v>
      </c>
      <c r="E6" s="1">
        <v>5.0</v>
      </c>
      <c r="F6" s="1">
        <v>5.0</v>
      </c>
      <c r="G6" s="1">
        <v>15.0</v>
      </c>
      <c r="H6" s="1">
        <v>12.0</v>
      </c>
      <c r="I6" s="5">
        <f t="shared" si="1"/>
        <v>1</v>
      </c>
      <c r="J6" s="5">
        <f t="shared" si="2"/>
        <v>1</v>
      </c>
    </row>
    <row r="7">
      <c r="A7" s="1" t="s">
        <v>19</v>
      </c>
      <c r="B7" s="2" t="s">
        <v>22</v>
      </c>
      <c r="C7" s="3"/>
      <c r="D7" s="1">
        <v>5.0</v>
      </c>
      <c r="E7" s="1">
        <v>5.0</v>
      </c>
      <c r="F7" s="1">
        <v>4.0</v>
      </c>
      <c r="G7" s="1">
        <v>14.0</v>
      </c>
      <c r="H7" s="1">
        <v>11.0</v>
      </c>
      <c r="I7" s="5">
        <f t="shared" si="1"/>
        <v>0.9166666667</v>
      </c>
      <c r="J7" s="5">
        <f t="shared" si="2"/>
        <v>1</v>
      </c>
    </row>
    <row r="8">
      <c r="A8" s="1" t="s">
        <v>19</v>
      </c>
      <c r="B8" s="2" t="s">
        <v>23</v>
      </c>
      <c r="C8" s="3"/>
      <c r="D8" s="1">
        <v>5.0</v>
      </c>
      <c r="E8" s="1">
        <v>5.0</v>
      </c>
      <c r="F8" s="1">
        <v>4.0</v>
      </c>
      <c r="G8" s="1">
        <v>14.0</v>
      </c>
      <c r="H8" s="1">
        <v>11.0</v>
      </c>
      <c r="I8" s="5">
        <f t="shared" si="1"/>
        <v>0.9166666667</v>
      </c>
      <c r="J8" s="5">
        <f t="shared" si="2"/>
        <v>1</v>
      </c>
    </row>
    <row r="9">
      <c r="A9" s="1" t="s">
        <v>19</v>
      </c>
      <c r="B9" s="2" t="s">
        <v>24</v>
      </c>
      <c r="C9" s="3"/>
      <c r="D9" s="1">
        <v>5.0</v>
      </c>
      <c r="E9" s="1">
        <v>5.0</v>
      </c>
      <c r="F9" s="1">
        <v>5.0</v>
      </c>
      <c r="G9" s="1">
        <v>15.0</v>
      </c>
      <c r="H9" s="1">
        <v>12.0</v>
      </c>
      <c r="I9" s="5">
        <f t="shared" si="1"/>
        <v>1</v>
      </c>
      <c r="J9" s="5">
        <f t="shared" si="2"/>
        <v>1</v>
      </c>
    </row>
    <row r="10">
      <c r="A10" s="1" t="s">
        <v>19</v>
      </c>
      <c r="B10" s="2" t="s">
        <v>25</v>
      </c>
      <c r="C10" s="3"/>
      <c r="D10" s="1">
        <v>5.0</v>
      </c>
      <c r="E10" s="1">
        <v>5.0</v>
      </c>
      <c r="F10" s="1">
        <v>4.0</v>
      </c>
      <c r="G10" s="1">
        <v>14.0</v>
      </c>
      <c r="H10" s="1">
        <v>11.0</v>
      </c>
      <c r="I10" s="5">
        <f t="shared" si="1"/>
        <v>0.9166666667</v>
      </c>
      <c r="J10" s="5">
        <f t="shared" si="2"/>
        <v>1</v>
      </c>
    </row>
    <row r="11">
      <c r="A11" s="1" t="s">
        <v>19</v>
      </c>
      <c r="B11" s="2" t="s">
        <v>26</v>
      </c>
      <c r="C11" s="3"/>
      <c r="D11" s="1">
        <v>5.0</v>
      </c>
      <c r="E11" s="1">
        <v>5.0</v>
      </c>
      <c r="F11" s="1">
        <v>4.0</v>
      </c>
      <c r="G11" s="1">
        <v>14.0</v>
      </c>
      <c r="H11" s="1">
        <v>11.0</v>
      </c>
      <c r="I11" s="5">
        <f t="shared" si="1"/>
        <v>0.9166666667</v>
      </c>
      <c r="J11" s="5">
        <f t="shared" si="2"/>
        <v>1</v>
      </c>
    </row>
    <row r="12">
      <c r="A12" s="1" t="s">
        <v>27</v>
      </c>
      <c r="B12" s="2" t="s">
        <v>28</v>
      </c>
      <c r="C12" s="3"/>
      <c r="D12" s="1">
        <v>5.0</v>
      </c>
      <c r="E12" s="1">
        <v>5.0</v>
      </c>
      <c r="F12" s="1">
        <v>5.0</v>
      </c>
      <c r="G12" s="1">
        <v>15.0</v>
      </c>
      <c r="H12" s="1">
        <v>12.0</v>
      </c>
      <c r="I12" s="5">
        <f t="shared" si="1"/>
        <v>1</v>
      </c>
      <c r="J12" s="5">
        <f t="shared" si="2"/>
        <v>1</v>
      </c>
    </row>
    <row r="13">
      <c r="A13" s="1" t="s">
        <v>27</v>
      </c>
      <c r="B13" s="2" t="s">
        <v>29</v>
      </c>
      <c r="C13" s="3"/>
      <c r="D13" s="1">
        <v>5.0</v>
      </c>
      <c r="E13" s="1">
        <v>5.0</v>
      </c>
      <c r="F13" s="1">
        <v>4.0</v>
      </c>
      <c r="G13" s="1">
        <v>14.0</v>
      </c>
      <c r="H13" s="1">
        <v>11.0</v>
      </c>
      <c r="I13" s="5">
        <f t="shared" si="1"/>
        <v>0.9166666667</v>
      </c>
      <c r="J13" s="5">
        <f t="shared" si="2"/>
        <v>1</v>
      </c>
    </row>
    <row r="14">
      <c r="A14" s="1" t="s">
        <v>30</v>
      </c>
      <c r="B14" s="2" t="s">
        <v>31</v>
      </c>
      <c r="C14" s="3"/>
      <c r="D14" s="1">
        <v>5.0</v>
      </c>
      <c r="E14" s="1">
        <v>5.0</v>
      </c>
      <c r="F14" s="1">
        <v>4.0</v>
      </c>
      <c r="G14" s="1">
        <v>14.0</v>
      </c>
      <c r="H14" s="1">
        <v>11.0</v>
      </c>
      <c r="I14" s="5">
        <f t="shared" si="1"/>
        <v>0.9166666667</v>
      </c>
      <c r="J14" s="5">
        <f t="shared" si="2"/>
        <v>1</v>
      </c>
    </row>
    <row r="15">
      <c r="A15" s="1" t="s">
        <v>30</v>
      </c>
      <c r="B15" s="2" t="s">
        <v>32</v>
      </c>
      <c r="C15" s="3"/>
      <c r="D15" s="1">
        <v>5.0</v>
      </c>
      <c r="E15" s="1">
        <v>5.0</v>
      </c>
      <c r="F15" s="1">
        <v>4.0</v>
      </c>
      <c r="G15" s="1">
        <v>14.0</v>
      </c>
      <c r="H15" s="1">
        <v>11.0</v>
      </c>
      <c r="I15" s="5">
        <f t="shared" si="1"/>
        <v>0.9166666667</v>
      </c>
      <c r="J15" s="5">
        <f t="shared" si="2"/>
        <v>1</v>
      </c>
    </row>
    <row r="16">
      <c r="A16" s="1" t="s">
        <v>33</v>
      </c>
      <c r="B16" s="2" t="s">
        <v>34</v>
      </c>
      <c r="C16" s="3"/>
      <c r="D16" s="1">
        <v>5.0</v>
      </c>
      <c r="E16" s="1">
        <v>5.0</v>
      </c>
      <c r="F16" s="1">
        <v>3.0</v>
      </c>
      <c r="G16" s="1">
        <v>13.0</v>
      </c>
      <c r="H16" s="1">
        <v>10.0</v>
      </c>
      <c r="I16" s="5">
        <f t="shared" si="1"/>
        <v>0.8333333333</v>
      </c>
      <c r="J16" s="5">
        <f t="shared" si="2"/>
        <v>0.6666666667</v>
      </c>
    </row>
    <row r="17">
      <c r="A17" s="1" t="s">
        <v>33</v>
      </c>
      <c r="B17" s="2" t="s">
        <v>35</v>
      </c>
      <c r="C17" s="3"/>
      <c r="D17" s="1">
        <v>5.0</v>
      </c>
      <c r="E17" s="1">
        <v>5.0</v>
      </c>
      <c r="F17" s="1">
        <v>5.0</v>
      </c>
      <c r="G17" s="1">
        <v>15.0</v>
      </c>
      <c r="H17" s="1">
        <v>12.0</v>
      </c>
      <c r="I17" s="5">
        <f t="shared" si="1"/>
        <v>1</v>
      </c>
      <c r="J17" s="5">
        <f t="shared" si="2"/>
        <v>1</v>
      </c>
    </row>
    <row r="18">
      <c r="A18" s="1" t="s">
        <v>33</v>
      </c>
      <c r="B18" s="2" t="s">
        <v>36</v>
      </c>
      <c r="C18" s="3"/>
      <c r="D18" s="1">
        <v>5.0</v>
      </c>
      <c r="E18" s="1">
        <v>5.0</v>
      </c>
      <c r="F18" s="1">
        <v>3.0</v>
      </c>
      <c r="G18" s="1">
        <v>13.0</v>
      </c>
      <c r="H18" s="1">
        <v>10.0</v>
      </c>
      <c r="I18" s="5">
        <f t="shared" si="1"/>
        <v>0.8333333333</v>
      </c>
      <c r="J18" s="5">
        <f t="shared" si="2"/>
        <v>0.6666666667</v>
      </c>
    </row>
    <row r="19">
      <c r="A19" s="1" t="s">
        <v>33</v>
      </c>
      <c r="B19" s="2" t="s">
        <v>37</v>
      </c>
      <c r="C19" s="3"/>
      <c r="D19" s="1">
        <v>5.0</v>
      </c>
      <c r="E19" s="1">
        <v>5.0</v>
      </c>
      <c r="F19" s="1">
        <v>4.0</v>
      </c>
      <c r="G19" s="1">
        <v>14.0</v>
      </c>
      <c r="H19" s="1">
        <v>11.0</v>
      </c>
      <c r="I19" s="5">
        <f t="shared" si="1"/>
        <v>0.9166666667</v>
      </c>
      <c r="J19" s="5">
        <f t="shared" si="2"/>
        <v>1</v>
      </c>
    </row>
    <row r="20">
      <c r="A20" s="1" t="s">
        <v>38</v>
      </c>
      <c r="B20" s="2" t="s">
        <v>39</v>
      </c>
      <c r="C20" s="3"/>
      <c r="D20" s="1">
        <v>5.0</v>
      </c>
      <c r="E20" s="1">
        <v>5.0</v>
      </c>
      <c r="F20" s="1">
        <v>5.0</v>
      </c>
      <c r="G20" s="1">
        <v>15.0</v>
      </c>
      <c r="H20" s="1">
        <v>12.0</v>
      </c>
      <c r="I20" s="5">
        <f t="shared" si="1"/>
        <v>1</v>
      </c>
      <c r="J20" s="5">
        <f t="shared" si="2"/>
        <v>1</v>
      </c>
    </row>
    <row r="21">
      <c r="A21" s="1" t="s">
        <v>40</v>
      </c>
      <c r="B21" s="2" t="s">
        <v>41</v>
      </c>
      <c r="C21" s="3"/>
      <c r="D21" s="1">
        <v>5.0</v>
      </c>
      <c r="E21" s="1">
        <v>5.0</v>
      </c>
      <c r="F21" s="1">
        <v>4.0</v>
      </c>
      <c r="G21" s="1">
        <v>14.0</v>
      </c>
      <c r="H21" s="1">
        <v>11.0</v>
      </c>
      <c r="I21" s="5">
        <f t="shared" si="1"/>
        <v>0.9166666667</v>
      </c>
      <c r="J21" s="5">
        <f t="shared" si="2"/>
        <v>1</v>
      </c>
    </row>
    <row r="22">
      <c r="A22" s="1" t="s">
        <v>40</v>
      </c>
      <c r="B22" s="2" t="s">
        <v>42</v>
      </c>
      <c r="C22" s="3"/>
      <c r="D22" s="1">
        <v>5.0</v>
      </c>
      <c r="E22" s="1">
        <v>5.0</v>
      </c>
      <c r="F22" s="1">
        <v>5.0</v>
      </c>
      <c r="G22" s="1">
        <v>15.0</v>
      </c>
      <c r="H22" s="1">
        <v>12.0</v>
      </c>
      <c r="I22" s="5">
        <f t="shared" si="1"/>
        <v>1</v>
      </c>
      <c r="J22" s="5">
        <f t="shared" si="2"/>
        <v>1</v>
      </c>
    </row>
    <row r="23">
      <c r="J23" s="8"/>
    </row>
    <row r="25">
      <c r="A25" s="9" t="s">
        <v>43</v>
      </c>
      <c r="B25" s="10"/>
      <c r="C25" s="10"/>
      <c r="D25" s="10"/>
    </row>
    <row r="26">
      <c r="A26" s="11"/>
      <c r="B26" s="11"/>
      <c r="C26" s="11"/>
      <c r="D26" s="11"/>
    </row>
    <row r="27">
      <c r="A27" s="12" t="s">
        <v>44</v>
      </c>
      <c r="B27" s="12" t="s">
        <v>45</v>
      </c>
      <c r="C27" s="13" t="s">
        <v>46</v>
      </c>
      <c r="D27" s="14"/>
      <c r="E27" s="15"/>
      <c r="F27" s="16"/>
    </row>
    <row r="28">
      <c r="A28" s="17" t="s">
        <v>47</v>
      </c>
      <c r="B28" s="18">
        <v>21.0</v>
      </c>
      <c r="C28" s="19" t="s">
        <v>48</v>
      </c>
      <c r="D28" s="14"/>
      <c r="E28" s="20"/>
      <c r="F28" s="21"/>
    </row>
    <row r="29">
      <c r="A29" s="17" t="s">
        <v>49</v>
      </c>
      <c r="B29" s="18">
        <v>3.0</v>
      </c>
      <c r="C29" s="19" t="s">
        <v>50</v>
      </c>
      <c r="D29" s="14"/>
      <c r="E29" s="20"/>
      <c r="F29" s="21"/>
    </row>
    <row r="30">
      <c r="A30" s="17" t="s">
        <v>51</v>
      </c>
      <c r="B30" s="22" t="s">
        <v>52</v>
      </c>
      <c r="C30" s="19" t="s">
        <v>53</v>
      </c>
      <c r="D30" s="14"/>
      <c r="E30" s="20"/>
      <c r="F30" s="21"/>
    </row>
    <row r="31">
      <c r="A31" s="17" t="s">
        <v>54</v>
      </c>
      <c r="B31" s="18">
        <v>12.0</v>
      </c>
      <c r="C31" s="19" t="s">
        <v>55</v>
      </c>
      <c r="D31" s="14"/>
      <c r="E31" s="20"/>
      <c r="F31" s="21"/>
    </row>
    <row r="32">
      <c r="A32" s="23" t="s">
        <v>56</v>
      </c>
      <c r="B32" s="24">
        <f>AVERAGE(I2:I22)</f>
        <v>0.9285714286</v>
      </c>
      <c r="C32" s="19" t="s">
        <v>57</v>
      </c>
      <c r="D32" s="14"/>
      <c r="E32" s="20"/>
      <c r="F32" s="21"/>
    </row>
    <row r="33">
      <c r="A33" s="17" t="s">
        <v>58</v>
      </c>
      <c r="B33" s="24">
        <f>AVERAGE(J2:J22)</f>
        <v>0.9523809524</v>
      </c>
      <c r="C33" s="19" t="s">
        <v>59</v>
      </c>
      <c r="D33" s="14"/>
      <c r="E33" s="20"/>
      <c r="F33" s="21"/>
    </row>
    <row r="34">
      <c r="A34" s="17" t="s">
        <v>60</v>
      </c>
      <c r="B34" s="24">
        <f>COUNTIF(J2:J22, 1) / COUNT(J2:J22)</f>
        <v>0.8571428571</v>
      </c>
      <c r="C34" s="19" t="s">
        <v>61</v>
      </c>
      <c r="D34" s="14"/>
      <c r="E34" s="20"/>
      <c r="F34" s="21"/>
    </row>
  </sheetData>
  <mergeCells count="30">
    <mergeCell ref="B19:C19"/>
    <mergeCell ref="B20:C20"/>
    <mergeCell ref="B21:C21"/>
    <mergeCell ref="B22:C22"/>
    <mergeCell ref="B1:C1"/>
    <mergeCell ref="B2:C2"/>
    <mergeCell ref="B3:C3"/>
    <mergeCell ref="B4:C4"/>
    <mergeCell ref="B5:C5"/>
    <mergeCell ref="B6:C6"/>
    <mergeCell ref="C27:D27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C33:D33"/>
    <mergeCell ref="C34:D34"/>
    <mergeCell ref="B17:C17"/>
    <mergeCell ref="B18:C18"/>
    <mergeCell ref="C28:D28"/>
    <mergeCell ref="C29:D29"/>
    <mergeCell ref="C30:D30"/>
    <mergeCell ref="C31:D31"/>
    <mergeCell ref="C32:D32"/>
  </mergeCells>
  <drawing r:id="rId1"/>
</worksheet>
</file>